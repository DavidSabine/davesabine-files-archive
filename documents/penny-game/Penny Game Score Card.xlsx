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GitHub\davesabine-files-archive\documents\penny-game\"/>
    </mc:Choice>
  </mc:AlternateContent>
  <bookViews>
    <workbookView xWindow="0" yWindow="0" windowWidth="14205" windowHeight="7035" firstSheet="1" activeTab="3"/>
  </bookViews>
  <sheets>
    <sheet name="Chart2" sheetId="8" state="hidden" r:id="rId1"/>
    <sheet name="Team Score Card" sheetId="4" r:id="rId2"/>
    <sheet name="Questions for discussion" sheetId="9" r:id="rId3"/>
    <sheet name="Information &amp; Instructions" sheetId="10" r:id="rId4"/>
  </sheets>
  <definedNames>
    <definedName name="AVG_of_1st_Build_Duration">'Team Score Card'!$F$3:$F$8</definedName>
    <definedName name="AVG_of_1st_Wasted_Time">'Team Score Card'!#REF!</definedName>
    <definedName name="AVG_of_2nd_Build_Duration">'Team Score Card'!$F$9:$F$14</definedName>
    <definedName name="AVG_of_2nd_Wasted_Time">'Team Score Card'!#REF!</definedName>
    <definedName name="AVG_of_3rd_Build_Duration">'Team Score Card'!$F$15:$F$20</definedName>
    <definedName name="AVG_of_3rd_Wasted_Time">'Team Score Card'!#REF!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9" l="1"/>
  <c r="D19" i="9" s="1"/>
  <c r="D14" i="9"/>
  <c r="D15" i="9"/>
  <c r="D16" i="9"/>
  <c r="D17" i="9"/>
  <c r="D18" i="9"/>
  <c r="C14" i="9"/>
  <c r="C19" i="9" s="1"/>
  <c r="C15" i="9"/>
  <c r="C16" i="9"/>
  <c r="C17" i="9"/>
  <c r="C18" i="9"/>
  <c r="C13" i="9"/>
  <c r="B13" i="9"/>
  <c r="B19" i="9" s="1"/>
  <c r="B14" i="9"/>
  <c r="B15" i="9"/>
  <c r="B16" i="9"/>
  <c r="B17" i="9"/>
  <c r="B18" i="9"/>
  <c r="A13" i="9"/>
  <c r="A15" i="9"/>
  <c r="A17" i="9"/>
  <c r="B2" i="9"/>
  <c r="D3" i="9"/>
  <c r="D4" i="9"/>
  <c r="D5" i="9"/>
  <c r="D6" i="9"/>
  <c r="D7" i="9"/>
  <c r="D2" i="9"/>
  <c r="C3" i="9"/>
  <c r="C4" i="9"/>
  <c r="C5" i="9"/>
  <c r="C6" i="9"/>
  <c r="C7" i="9"/>
  <c r="C2" i="9"/>
  <c r="B3" i="9"/>
  <c r="B4" i="9"/>
  <c r="B8" i="9" s="1"/>
  <c r="B5" i="9"/>
  <c r="B6" i="9"/>
  <c r="B7" i="9"/>
  <c r="A7" i="9"/>
  <c r="A18" i="9" s="1"/>
  <c r="A6" i="9"/>
  <c r="A5" i="9"/>
  <c r="A16" i="9" s="1"/>
  <c r="A4" i="9"/>
  <c r="A3" i="9"/>
  <c r="A14" i="9" s="1"/>
  <c r="A2" i="9"/>
  <c r="A10" i="4"/>
  <c r="A16" i="4" s="1"/>
  <c r="A11" i="4"/>
  <c r="A12" i="4"/>
  <c r="A18" i="4" s="1"/>
  <c r="A13" i="4"/>
  <c r="A19" i="4" s="1"/>
  <c r="A14" i="4"/>
  <c r="A20" i="4" s="1"/>
  <c r="A17" i="4"/>
  <c r="A9" i="4"/>
  <c r="A15" i="4" s="1"/>
  <c r="B10" i="4"/>
  <c r="B11" i="4"/>
  <c r="B17" i="4" s="1"/>
  <c r="B12" i="4"/>
  <c r="B18" i="4" s="1"/>
  <c r="B13" i="4"/>
  <c r="B19" i="4" s="1"/>
  <c r="B14" i="4"/>
  <c r="B20" i="4" s="1"/>
  <c r="B16" i="4"/>
  <c r="B9" i="4"/>
  <c r="B15" i="4" s="1"/>
  <c r="D8" i="9" l="1"/>
  <c r="C8" i="9"/>
</calcChain>
</file>

<file path=xl/sharedStrings.xml><?xml version="1.0" encoding="utf-8"?>
<sst xmlns="http://schemas.openxmlformats.org/spreadsheetml/2006/main" count="32" uniqueCount="32">
  <si>
    <t>How long did it take for all pennies to be flipped by all team members?</t>
  </si>
  <si>
    <t>How how long did it take for the ‘first penny’ to reach the customer?</t>
  </si>
  <si>
    <t>How long did it take the 'last penny' to reach the customer?</t>
  </si>
  <si>
    <t>Quality</t>
  </si>
  <si>
    <t>What percentage of pennies are "correct-face-up"?</t>
  </si>
  <si>
    <t>Round #</t>
  </si>
  <si>
    <t>Team #</t>
  </si>
  <si>
    <t>How long did each person stand around doing nothing?</t>
  </si>
  <si>
    <t>Total Duration (Seconds)</t>
  </si>
  <si>
    <t>What change can we observe in the time-to-market?</t>
  </si>
  <si>
    <t>1st Time To Market</t>
  </si>
  <si>
    <t>Last Time To Market</t>
  </si>
  <si>
    <t># of flips</t>
  </si>
  <si>
    <t>Team 1</t>
  </si>
  <si>
    <t>Team 2</t>
  </si>
  <si>
    <t>Team 3</t>
  </si>
  <si>
    <t>Team 4</t>
  </si>
  <si>
    <t>Team 5</t>
  </si>
  <si>
    <t>Team 6</t>
  </si>
  <si>
    <t>Round 1</t>
  </si>
  <si>
    <t>Round 2</t>
  </si>
  <si>
    <t>Round 3</t>
  </si>
  <si>
    <t>Average wasted time per person</t>
  </si>
  <si>
    <t>Round 2 to Round 1
(x times faster)</t>
  </si>
  <si>
    <t>Round 3 to Round 2
(x times faster)</t>
  </si>
  <si>
    <t>Average improvement for all teams</t>
  </si>
  <si>
    <t>Round 3 to Round 1
(x times faster)</t>
  </si>
  <si>
    <t>What does this mean regarding production cost per penny?</t>
  </si>
  <si>
    <t>What does this mean for a teams potential profitability?</t>
  </si>
  <si>
    <t>How many penny-flippers (not counting time-keepers) are in the team?</t>
  </si>
  <si>
    <t xml:space="preserve">This spreadsheet accompanies a blog post and instructions that you'll find here: </t>
  </si>
  <si>
    <t>http://tumblr.davesabine.com/post/43931321966/queuing-theory-the-penny-game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</si>
</sst>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6" fillId="0" borderId="0" xfId="1" applyNumberFormat="1"/>
  </cellXfs>
  <cellStyles count="2">
    <cellStyle name="Hyperlink" xfId="1" builtinId="8"/>
    <cellStyle name="Normal" xfId="0" builtinId="0"/>
  </cellStyles>
  <dxfs count="24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100</c:v>
              </c:pt>
              <c:pt idx="1">
                <c:v>93.333333333333329</c:v>
              </c:pt>
              <c:pt idx="2">
                <c:v>100</c:v>
              </c:pt>
            </c:numLit>
          </c:val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41.833333333333336</c:v>
              </c:pt>
              <c:pt idx="1">
                <c:v>27.333333333333332</c:v>
              </c:pt>
              <c:pt idx="2">
                <c:v>6.333333333333333</c:v>
              </c:pt>
            </c:numLit>
          </c:val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35.333333333333336</c:v>
              </c:pt>
              <c:pt idx="1">
                <c:v>18.333333333333332</c:v>
              </c:pt>
              <c:pt idx="2">
                <c:v>4.666666666666667</c:v>
              </c:pt>
            </c:numLit>
          </c:val>
        </c:ser>
        <c:ser>
          <c:idx val="3"/>
          <c:order val="3"/>
          <c:tx>
            <c:v>Series4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41.833333333333336</c:v>
              </c:pt>
              <c:pt idx="1">
                <c:v>27.333333333333332</c:v>
              </c:pt>
              <c:pt idx="2">
                <c:v>6.333333333333333</c:v>
              </c:pt>
            </c:numLit>
          </c:val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1.9272727272727275</c:v>
              </c:pt>
              <c:pt idx="2">
                <c:v>7.5714285714285703</c:v>
              </c:pt>
            </c:numLit>
          </c:val>
        </c:ser>
        <c:ser>
          <c:idx val="5"/>
          <c:order val="5"/>
          <c:tx>
            <c:v>Series6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83.666666666666671</c:v>
              </c:pt>
              <c:pt idx="1">
                <c:v>54.666666666666664</c:v>
              </c:pt>
              <c:pt idx="2">
                <c:v>12.666666666666666</c:v>
              </c:pt>
            </c:numLit>
          </c:val>
        </c:ser>
        <c:ser>
          <c:idx val="6"/>
          <c:order val="6"/>
          <c:tx>
            <c:v>Series7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1.5304878048780488</c:v>
              </c:pt>
              <c:pt idx="2">
                <c:v>6.6052631578947372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892616"/>
        <c:axId val="235888304"/>
        <c:axId val="0"/>
      </c:bar3DChart>
      <c:catAx>
        <c:axId val="23589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88304"/>
        <c:crosses val="autoZero"/>
        <c:auto val="1"/>
        <c:lblAlgn val="ctr"/>
        <c:lblOffset val="100"/>
        <c:noMultiLvlLbl val="0"/>
      </c:catAx>
      <c:valAx>
        <c:axId val="235888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3589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500" cy="63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3" name="Table3" displayName="Table3" ref="A2:G20" totalsRowShown="0" headerRowDxfId="23" dataDxfId="22" headerRowCellStyle="Normal" dataCellStyle="Normal">
  <autoFilter ref="A2:G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Round #" dataDxfId="21"/>
    <tableColumn id="2" name="Team #" dataDxfId="20"/>
    <tableColumn id="3" name="# of flips" dataDxfId="19"/>
    <tableColumn id="4" name="Total Duration (Seconds)" dataDxfId="18"/>
    <tableColumn id="5" name="Quality" dataDxfId="17"/>
    <tableColumn id="6" name="1st Time To Market" dataDxfId="16"/>
    <tableColumn id="7" name="Last Time To Market" dataDxfId="15"/>
  </tableColumns>
  <tableStyleInfo name="TableStyleLight8" showFirstColumn="1" showLastColumn="0" showRowStripes="0" showColumnStripes="0"/>
</table>
</file>

<file path=xl/tables/table2.xml><?xml version="1.0" encoding="utf-8"?>
<table xmlns="http://schemas.openxmlformats.org/spreadsheetml/2006/main" id="1" name="Table1" displayName="Table1" ref="A1:D7">
  <autoFilter ref="A1:D7">
    <filterColumn colId="0" hiddenButton="1"/>
    <filterColumn colId="1" hiddenButton="1"/>
    <filterColumn colId="2" hiddenButton="1"/>
    <filterColumn colId="3" hiddenButton="1"/>
  </autoFilter>
  <tableColumns count="4">
    <tableColumn id="1" name="How long did each person stand around doing nothing?" totalsRowLabel="Average" totalsRowDxfId="14"/>
    <tableColumn id="2" name="Round 1" totalsRowFunction="average" dataDxfId="13" totalsRowDxfId="12"/>
    <tableColumn id="3" name="Round 2" totalsRowFunction="average" dataDxfId="11" totalsRowDxfId="10"/>
    <tableColumn id="4" name="Round 3" totalsRowFunction="average" dataDxfId="9" totalsRowDxfId="8"/>
  </tableColumns>
  <tableStyleInfo name="TableStyleLight1" showFirstColumn="1" showLastColumn="0" showRowStripes="0" showColumnStripes="0"/>
</table>
</file>

<file path=xl/tables/table3.xml><?xml version="1.0" encoding="utf-8"?>
<table xmlns="http://schemas.openxmlformats.org/spreadsheetml/2006/main" id="2" name="Table13" displayName="Table13" ref="A12:D18">
  <autoFilter ref="A12:D18">
    <filterColumn colId="0" hiddenButton="1"/>
    <filterColumn colId="1" hiddenButton="1"/>
    <filterColumn colId="2" hiddenButton="1"/>
    <filterColumn colId="3" hiddenButton="1"/>
  </autoFilter>
  <tableColumns count="4">
    <tableColumn id="1" name="What change can we observe in the time-to-market?" totalsRowLabel="Average" dataDxfId="7" totalsRowDxfId="6">
      <calculatedColumnFormula>A2</calculatedColumnFormula>
    </tableColumn>
    <tableColumn id="2" name="Round 2 to Round 1_x000a_(x times faster)" totalsRowFunction="average" dataDxfId="5" totalsRowDxfId="4">
      <calculatedColumnFormula>'Team Score Card'!F3/'Team Score Card'!F9</calculatedColumnFormula>
    </tableColumn>
    <tableColumn id="3" name="Round 3 to Round 2_x000a_(x times faster)" totalsRowFunction="average" dataDxfId="3" totalsRowDxfId="2">
      <calculatedColumnFormula>'Team Score Card'!F9/'Team Score Card'!F15</calculatedColumnFormula>
    </tableColumn>
    <tableColumn id="4" name="Round 3 to Round 1_x000a_(x times faster)" totalsRowFunction="average" dataDxfId="1" totalsRowDxfId="0">
      <calculatedColumnFormula>'Team Score Card'!F3/'Team Score Card'!F15</calculatedColumnFormula>
    </tableColumn>
  </tableColumns>
  <tableStyleInfo name="TableStyleLight1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tumblr.davesabine.com/post/43931321966/queuing-theory-the-penny-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24" zoomScaleNormal="124" workbookViewId="0">
      <selection activeCell="C2" sqref="C2"/>
    </sheetView>
  </sheetViews>
  <sheetFormatPr defaultRowHeight="15" x14ac:dyDescent="0.25"/>
  <cols>
    <col min="1" max="7" width="25" customWidth="1"/>
  </cols>
  <sheetData>
    <row r="1" spans="1:7" ht="41.25" customHeight="1" x14ac:dyDescent="0.25">
      <c r="C1" s="2" t="s">
        <v>29</v>
      </c>
      <c r="D1" s="2" t="s">
        <v>0</v>
      </c>
      <c r="E1" s="2" t="s">
        <v>4</v>
      </c>
      <c r="F1" s="2" t="s">
        <v>1</v>
      </c>
      <c r="G1" s="2" t="s">
        <v>2</v>
      </c>
    </row>
    <row r="2" spans="1:7" s="1" customFormat="1" ht="19.5" customHeight="1" x14ac:dyDescent="0.25">
      <c r="A2" s="1" t="s">
        <v>5</v>
      </c>
      <c r="B2" s="1" t="s">
        <v>6</v>
      </c>
      <c r="C2" s="1" t="s">
        <v>12</v>
      </c>
      <c r="D2" s="1" t="s">
        <v>8</v>
      </c>
      <c r="E2" s="1" t="s">
        <v>3</v>
      </c>
      <c r="F2" s="1" t="s">
        <v>10</v>
      </c>
      <c r="G2" s="1" t="s">
        <v>11</v>
      </c>
    </row>
    <row r="3" spans="1:7" s="1" customFormat="1" ht="19.5" customHeight="1" x14ac:dyDescent="0.25">
      <c r="A3" s="3">
        <v>1</v>
      </c>
      <c r="B3" s="3" t="s">
        <v>13</v>
      </c>
      <c r="C3" s="3">
        <v>3</v>
      </c>
      <c r="D3" s="3">
        <v>34</v>
      </c>
      <c r="E3" s="3">
        <v>100</v>
      </c>
      <c r="F3" s="3">
        <v>28</v>
      </c>
      <c r="G3" s="3">
        <v>34</v>
      </c>
    </row>
    <row r="4" spans="1:7" s="1" customFormat="1" ht="19.5" customHeight="1" x14ac:dyDescent="0.25">
      <c r="A4" s="3">
        <v>1</v>
      </c>
      <c r="B4" s="3" t="s">
        <v>14</v>
      </c>
      <c r="C4" s="3">
        <v>3</v>
      </c>
      <c r="D4" s="3">
        <v>38</v>
      </c>
      <c r="E4" s="3">
        <v>100</v>
      </c>
      <c r="F4" s="3">
        <v>31</v>
      </c>
      <c r="G4" s="3">
        <v>38</v>
      </c>
    </row>
    <row r="5" spans="1:7" s="1" customFormat="1" ht="19.5" customHeight="1" x14ac:dyDescent="0.25">
      <c r="A5" s="3">
        <v>1</v>
      </c>
      <c r="B5" s="3" t="s">
        <v>15</v>
      </c>
      <c r="C5" s="3">
        <v>3</v>
      </c>
      <c r="D5" s="3">
        <v>56</v>
      </c>
      <c r="E5" s="3">
        <v>100</v>
      </c>
      <c r="F5" s="3">
        <v>35</v>
      </c>
      <c r="G5" s="3">
        <v>56</v>
      </c>
    </row>
    <row r="6" spans="1:7" s="1" customFormat="1" ht="19.5" customHeight="1" x14ac:dyDescent="0.25">
      <c r="A6" s="3">
        <v>1</v>
      </c>
      <c r="B6" s="3" t="s">
        <v>16</v>
      </c>
      <c r="C6" s="3">
        <v>3</v>
      </c>
      <c r="D6" s="3">
        <v>41</v>
      </c>
      <c r="E6" s="3">
        <v>100</v>
      </c>
      <c r="F6" s="3">
        <v>36</v>
      </c>
      <c r="G6" s="3">
        <v>41</v>
      </c>
    </row>
    <row r="7" spans="1:7" s="1" customFormat="1" ht="19.5" customHeight="1" x14ac:dyDescent="0.25">
      <c r="A7" s="3">
        <v>1</v>
      </c>
      <c r="B7" s="3" t="s">
        <v>17</v>
      </c>
      <c r="C7" s="3">
        <v>3</v>
      </c>
      <c r="D7" s="3">
        <v>43</v>
      </c>
      <c r="E7" s="3">
        <v>100</v>
      </c>
      <c r="F7" s="3">
        <v>43</v>
      </c>
      <c r="G7" s="3">
        <v>43</v>
      </c>
    </row>
    <row r="8" spans="1:7" s="1" customFormat="1" ht="19.5" customHeight="1" x14ac:dyDescent="0.25">
      <c r="A8" s="3">
        <v>1</v>
      </c>
      <c r="B8" s="3" t="s">
        <v>18</v>
      </c>
      <c r="C8" s="3">
        <v>3</v>
      </c>
      <c r="D8" s="3">
        <v>39</v>
      </c>
      <c r="E8" s="3">
        <v>100</v>
      </c>
      <c r="F8" s="3">
        <v>39</v>
      </c>
      <c r="G8" s="3">
        <v>39</v>
      </c>
    </row>
    <row r="9" spans="1:7" s="1" customFormat="1" ht="19.5" customHeight="1" x14ac:dyDescent="0.25">
      <c r="A9" s="4">
        <f>A3+1</f>
        <v>2</v>
      </c>
      <c r="B9" s="4" t="str">
        <f>B3</f>
        <v>Team 1</v>
      </c>
      <c r="C9" s="4">
        <v>3</v>
      </c>
      <c r="D9" s="4">
        <v>20</v>
      </c>
      <c r="E9" s="4">
        <v>100</v>
      </c>
      <c r="F9" s="4">
        <v>20</v>
      </c>
      <c r="G9" s="4">
        <v>20</v>
      </c>
    </row>
    <row r="10" spans="1:7" s="1" customFormat="1" ht="19.5" customHeight="1" x14ac:dyDescent="0.25">
      <c r="A10" s="4">
        <f t="shared" ref="A10:A20" si="0">A4+1</f>
        <v>2</v>
      </c>
      <c r="B10" s="4" t="str">
        <f t="shared" ref="B10:B20" si="1">B4</f>
        <v>Team 2</v>
      </c>
      <c r="C10" s="4">
        <v>3</v>
      </c>
      <c r="D10" s="4">
        <v>8</v>
      </c>
      <c r="E10" s="4">
        <v>100</v>
      </c>
      <c r="F10" s="4">
        <v>8</v>
      </c>
      <c r="G10" s="4">
        <v>8</v>
      </c>
    </row>
    <row r="11" spans="1:7" s="1" customFormat="1" ht="19.5" customHeight="1" x14ac:dyDescent="0.25">
      <c r="A11" s="4">
        <f t="shared" si="0"/>
        <v>2</v>
      </c>
      <c r="B11" s="4" t="str">
        <f t="shared" si="1"/>
        <v>Team 3</v>
      </c>
      <c r="C11" s="4">
        <v>3</v>
      </c>
      <c r="D11" s="4">
        <v>22</v>
      </c>
      <c r="E11" s="4">
        <v>60</v>
      </c>
      <c r="F11" s="4">
        <v>13</v>
      </c>
      <c r="G11" s="4">
        <v>22</v>
      </c>
    </row>
    <row r="12" spans="1:7" s="1" customFormat="1" ht="19.5" customHeight="1" x14ac:dyDescent="0.25">
      <c r="A12" s="4">
        <f t="shared" si="0"/>
        <v>2</v>
      </c>
      <c r="B12" s="4" t="str">
        <f t="shared" si="1"/>
        <v>Team 4</v>
      </c>
      <c r="C12" s="4">
        <v>3</v>
      </c>
      <c r="D12" s="4">
        <v>31</v>
      </c>
      <c r="E12" s="4">
        <v>100</v>
      </c>
      <c r="F12" s="4">
        <v>29</v>
      </c>
      <c r="G12" s="4">
        <v>31</v>
      </c>
    </row>
    <row r="13" spans="1:7" s="1" customFormat="1" ht="19.5" customHeight="1" x14ac:dyDescent="0.25">
      <c r="A13" s="4">
        <f t="shared" si="0"/>
        <v>2</v>
      </c>
      <c r="B13" s="4" t="str">
        <f t="shared" si="1"/>
        <v>Team 5</v>
      </c>
      <c r="C13" s="4">
        <v>3</v>
      </c>
      <c r="D13" s="4">
        <v>54</v>
      </c>
      <c r="E13" s="4">
        <v>100</v>
      </c>
      <c r="F13" s="4">
        <v>11</v>
      </c>
      <c r="G13" s="4">
        <v>54</v>
      </c>
    </row>
    <row r="14" spans="1:7" s="1" customFormat="1" ht="19.5" customHeight="1" x14ac:dyDescent="0.25">
      <c r="A14" s="4">
        <f t="shared" si="0"/>
        <v>2</v>
      </c>
      <c r="B14" s="4" t="str">
        <f t="shared" si="1"/>
        <v>Team 6</v>
      </c>
      <c r="C14" s="4">
        <v>3</v>
      </c>
      <c r="D14" s="4">
        <v>29</v>
      </c>
      <c r="E14" s="4">
        <v>100</v>
      </c>
      <c r="F14" s="4">
        <v>29</v>
      </c>
      <c r="G14" s="4">
        <v>29</v>
      </c>
    </row>
    <row r="15" spans="1:7" s="1" customFormat="1" ht="19.5" customHeight="1" x14ac:dyDescent="0.25">
      <c r="A15" s="3">
        <f t="shared" si="0"/>
        <v>3</v>
      </c>
      <c r="B15" s="3" t="str">
        <f t="shared" si="1"/>
        <v>Team 1</v>
      </c>
      <c r="C15" s="3">
        <v>3</v>
      </c>
      <c r="D15" s="3">
        <v>5</v>
      </c>
      <c r="E15" s="3">
        <v>100</v>
      </c>
      <c r="F15" s="3">
        <v>2</v>
      </c>
      <c r="G15" s="3">
        <v>5</v>
      </c>
    </row>
    <row r="16" spans="1:7" s="1" customFormat="1" ht="19.5" customHeight="1" x14ac:dyDescent="0.25">
      <c r="A16" s="3">
        <f t="shared" si="0"/>
        <v>3</v>
      </c>
      <c r="B16" s="3" t="str">
        <f t="shared" si="1"/>
        <v>Team 2</v>
      </c>
      <c r="C16" s="3">
        <v>3</v>
      </c>
      <c r="D16" s="3">
        <v>6</v>
      </c>
      <c r="E16" s="3">
        <v>100</v>
      </c>
      <c r="F16" s="3">
        <v>6</v>
      </c>
      <c r="G16" s="3">
        <v>6</v>
      </c>
    </row>
    <row r="17" spans="1:7" s="1" customFormat="1" ht="19.5" customHeight="1" x14ac:dyDescent="0.25">
      <c r="A17" s="3">
        <f t="shared" si="0"/>
        <v>3</v>
      </c>
      <c r="B17" s="3" t="str">
        <f>B11</f>
        <v>Team 3</v>
      </c>
      <c r="C17" s="3">
        <v>3</v>
      </c>
      <c r="D17" s="3">
        <v>3</v>
      </c>
      <c r="E17" s="3">
        <v>100</v>
      </c>
      <c r="F17" s="3">
        <v>3</v>
      </c>
      <c r="G17" s="3">
        <v>3</v>
      </c>
    </row>
    <row r="18" spans="1:7" s="1" customFormat="1" ht="19.5" customHeight="1" x14ac:dyDescent="0.25">
      <c r="A18" s="3">
        <f t="shared" si="0"/>
        <v>3</v>
      </c>
      <c r="B18" s="3" t="str">
        <f t="shared" si="1"/>
        <v>Team 4</v>
      </c>
      <c r="C18" s="3">
        <v>3</v>
      </c>
      <c r="D18" s="3">
        <v>6</v>
      </c>
      <c r="E18" s="3">
        <v>100</v>
      </c>
      <c r="F18" s="3">
        <v>6</v>
      </c>
      <c r="G18" s="3">
        <v>6</v>
      </c>
    </row>
    <row r="19" spans="1:7" s="1" customFormat="1" ht="19.5" customHeight="1" x14ac:dyDescent="0.25">
      <c r="A19" s="3">
        <f t="shared" si="0"/>
        <v>3</v>
      </c>
      <c r="B19" s="3" t="str">
        <f t="shared" si="1"/>
        <v>Team 5</v>
      </c>
      <c r="C19" s="3">
        <v>3</v>
      </c>
      <c r="D19" s="3">
        <v>10</v>
      </c>
      <c r="E19" s="3">
        <v>100</v>
      </c>
      <c r="F19" s="3">
        <v>3</v>
      </c>
      <c r="G19" s="3">
        <v>10</v>
      </c>
    </row>
    <row r="20" spans="1:7" s="1" customFormat="1" ht="19.5" customHeight="1" x14ac:dyDescent="0.25">
      <c r="A20" s="3">
        <f t="shared" si="0"/>
        <v>3</v>
      </c>
      <c r="B20" s="3" t="str">
        <f t="shared" si="1"/>
        <v>Team 6</v>
      </c>
      <c r="C20" s="3">
        <v>3</v>
      </c>
      <c r="D20" s="3">
        <v>8</v>
      </c>
      <c r="E20" s="3">
        <v>100</v>
      </c>
      <c r="F20" s="3">
        <v>8</v>
      </c>
      <c r="G20" s="3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F12" sqref="F12"/>
    </sheetView>
  </sheetViews>
  <sheetFormatPr defaultRowHeight="15" x14ac:dyDescent="0.25"/>
  <cols>
    <col min="1" max="1" width="46.85546875" customWidth="1"/>
    <col min="2" max="4" width="21" style="1" customWidth="1"/>
    <col min="6" max="6" width="46.85546875" customWidth="1"/>
  </cols>
  <sheetData>
    <row r="1" spans="1:6" ht="69.75" x14ac:dyDescent="0.25">
      <c r="A1" s="5" t="s">
        <v>7</v>
      </c>
      <c r="B1" s="1" t="s">
        <v>19</v>
      </c>
      <c r="C1" s="1" t="s">
        <v>20</v>
      </c>
      <c r="D1" s="1" t="s">
        <v>21</v>
      </c>
      <c r="F1" s="6" t="s">
        <v>27</v>
      </c>
    </row>
    <row r="2" spans="1:6" x14ac:dyDescent="0.25">
      <c r="A2" t="str">
        <f>'Team Score Card'!$B3</f>
        <v>Team 1</v>
      </c>
      <c r="B2" s="8">
        <f>'Team Score Card'!$D3/'Team Score Card'!$C3</f>
        <v>11.333333333333334</v>
      </c>
      <c r="C2" s="8">
        <f>'Team Score Card'!$D9/'Team Score Card'!$C9</f>
        <v>6.666666666666667</v>
      </c>
      <c r="D2" s="8">
        <f>'Team Score Card'!$D15/'Team Score Card'!$C15</f>
        <v>1.6666666666666667</v>
      </c>
    </row>
    <row r="3" spans="1:6" x14ac:dyDescent="0.25">
      <c r="A3" t="str">
        <f>'Team Score Card'!$B4</f>
        <v>Team 2</v>
      </c>
      <c r="B3" s="8">
        <f>'Team Score Card'!$D4/'Team Score Card'!$C4</f>
        <v>12.666666666666666</v>
      </c>
      <c r="C3" s="8">
        <f>'Team Score Card'!$D10/'Team Score Card'!$C10</f>
        <v>2.6666666666666665</v>
      </c>
      <c r="D3" s="8">
        <f>'Team Score Card'!$D16/'Team Score Card'!$C16</f>
        <v>2</v>
      </c>
    </row>
    <row r="4" spans="1:6" x14ac:dyDescent="0.25">
      <c r="A4" t="str">
        <f>'Team Score Card'!$B5</f>
        <v>Team 3</v>
      </c>
      <c r="B4" s="8">
        <f>'Team Score Card'!$D5/'Team Score Card'!$C5</f>
        <v>18.666666666666668</v>
      </c>
      <c r="C4" s="8">
        <f>'Team Score Card'!$D11/'Team Score Card'!$C11</f>
        <v>7.333333333333333</v>
      </c>
      <c r="D4" s="8">
        <f>'Team Score Card'!$D17/'Team Score Card'!$C17</f>
        <v>1</v>
      </c>
    </row>
    <row r="5" spans="1:6" x14ac:dyDescent="0.25">
      <c r="A5" t="str">
        <f>'Team Score Card'!$B6</f>
        <v>Team 4</v>
      </c>
      <c r="B5" s="8">
        <f>'Team Score Card'!$D6/'Team Score Card'!$C6</f>
        <v>13.666666666666666</v>
      </c>
      <c r="C5" s="8">
        <f>'Team Score Card'!$D12/'Team Score Card'!$C12</f>
        <v>10.333333333333334</v>
      </c>
      <c r="D5" s="8">
        <f>'Team Score Card'!$D18/'Team Score Card'!$C18</f>
        <v>2</v>
      </c>
    </row>
    <row r="6" spans="1:6" x14ac:dyDescent="0.25">
      <c r="A6" t="str">
        <f>'Team Score Card'!$B7</f>
        <v>Team 5</v>
      </c>
      <c r="B6" s="8">
        <f>'Team Score Card'!$D7/'Team Score Card'!$C7</f>
        <v>14.333333333333334</v>
      </c>
      <c r="C6" s="8">
        <f>'Team Score Card'!$D13/'Team Score Card'!$C13</f>
        <v>18</v>
      </c>
      <c r="D6" s="8">
        <f>'Team Score Card'!$D19/'Team Score Card'!$C19</f>
        <v>3.3333333333333335</v>
      </c>
    </row>
    <row r="7" spans="1:6" x14ac:dyDescent="0.25">
      <c r="A7" t="str">
        <f>'Team Score Card'!$B8</f>
        <v>Team 6</v>
      </c>
      <c r="B7" s="8">
        <f>'Team Score Card'!$D8/'Team Score Card'!$C8</f>
        <v>13</v>
      </c>
      <c r="C7" s="8">
        <f>'Team Score Card'!$D14/'Team Score Card'!$C14</f>
        <v>9.6666666666666661</v>
      </c>
      <c r="D7" s="8">
        <f>'Team Score Card'!$D20/'Team Score Card'!$C20</f>
        <v>2.6666666666666665</v>
      </c>
    </row>
    <row r="8" spans="1:6" x14ac:dyDescent="0.25">
      <c r="A8" s="7" t="s">
        <v>22</v>
      </c>
      <c r="B8" s="9">
        <f>SUBTOTAL(101,Table1[Round 1])</f>
        <v>13.944444444444445</v>
      </c>
      <c r="C8" s="9">
        <f>SUBTOTAL(101,Table1[Round 2])</f>
        <v>9.1111111111111107</v>
      </c>
      <c r="D8" s="9">
        <f>SUBTOTAL(101,Table1[Round 3])</f>
        <v>2.1111111111111112</v>
      </c>
    </row>
    <row r="9" spans="1:6" x14ac:dyDescent="0.25">
      <c r="A9" s="7"/>
      <c r="B9" s="9"/>
      <c r="C9" s="9"/>
      <c r="D9" s="9"/>
    </row>
    <row r="12" spans="1:6" ht="46.5" x14ac:dyDescent="0.25">
      <c r="A12" s="5" t="s">
        <v>9</v>
      </c>
      <c r="B12" s="10" t="s">
        <v>23</v>
      </c>
      <c r="C12" s="10" t="s">
        <v>24</v>
      </c>
      <c r="D12" s="10" t="s">
        <v>26</v>
      </c>
      <c r="F12" s="6" t="s">
        <v>28</v>
      </c>
    </row>
    <row r="13" spans="1:6" x14ac:dyDescent="0.25">
      <c r="A13" t="str">
        <f t="shared" ref="A13:A18" si="0">A2</f>
        <v>Team 1</v>
      </c>
      <c r="B13" s="8">
        <f>'Team Score Card'!F3/'Team Score Card'!F9</f>
        <v>1.4</v>
      </c>
      <c r="C13" s="8">
        <f>'Team Score Card'!F9/'Team Score Card'!F15</f>
        <v>10</v>
      </c>
      <c r="D13" s="8">
        <f>'Team Score Card'!F3/'Team Score Card'!F15</f>
        <v>14</v>
      </c>
    </row>
    <row r="14" spans="1:6" x14ac:dyDescent="0.25">
      <c r="A14" t="str">
        <f t="shared" si="0"/>
        <v>Team 2</v>
      </c>
      <c r="B14" s="8">
        <f>'Team Score Card'!F4/'Team Score Card'!F10</f>
        <v>3.875</v>
      </c>
      <c r="C14" s="8">
        <f>'Team Score Card'!F10/'Team Score Card'!F16</f>
        <v>1.3333333333333333</v>
      </c>
      <c r="D14" s="8">
        <f>'Team Score Card'!F4/'Team Score Card'!F16</f>
        <v>5.166666666666667</v>
      </c>
    </row>
    <row r="15" spans="1:6" x14ac:dyDescent="0.25">
      <c r="A15" t="str">
        <f t="shared" si="0"/>
        <v>Team 3</v>
      </c>
      <c r="B15" s="8">
        <f>'Team Score Card'!F5/'Team Score Card'!F11</f>
        <v>2.6923076923076925</v>
      </c>
      <c r="C15" s="8">
        <f>'Team Score Card'!F11/'Team Score Card'!F17</f>
        <v>4.333333333333333</v>
      </c>
      <c r="D15" s="8">
        <f>'Team Score Card'!F5/'Team Score Card'!F17</f>
        <v>11.666666666666666</v>
      </c>
    </row>
    <row r="16" spans="1:6" x14ac:dyDescent="0.25">
      <c r="A16" t="str">
        <f t="shared" si="0"/>
        <v>Team 4</v>
      </c>
      <c r="B16" s="8">
        <f>'Team Score Card'!F6/'Team Score Card'!F12</f>
        <v>1.2413793103448276</v>
      </c>
      <c r="C16" s="8">
        <f>'Team Score Card'!F12/'Team Score Card'!F18</f>
        <v>4.833333333333333</v>
      </c>
      <c r="D16" s="8">
        <f>'Team Score Card'!F6/'Team Score Card'!F18</f>
        <v>6</v>
      </c>
    </row>
    <row r="17" spans="1:4" x14ac:dyDescent="0.25">
      <c r="A17" t="str">
        <f t="shared" si="0"/>
        <v>Team 5</v>
      </c>
      <c r="B17" s="8">
        <f>'Team Score Card'!F7/'Team Score Card'!F13</f>
        <v>3.9090909090909092</v>
      </c>
      <c r="C17" s="8">
        <f>'Team Score Card'!F13/'Team Score Card'!F19</f>
        <v>3.6666666666666665</v>
      </c>
      <c r="D17" s="8">
        <f>'Team Score Card'!F7/'Team Score Card'!F19</f>
        <v>14.333333333333334</v>
      </c>
    </row>
    <row r="18" spans="1:4" x14ac:dyDescent="0.25">
      <c r="A18" t="str">
        <f t="shared" si="0"/>
        <v>Team 6</v>
      </c>
      <c r="B18" s="8">
        <f>'Team Score Card'!F8/'Team Score Card'!F14</f>
        <v>1.3448275862068966</v>
      </c>
      <c r="C18" s="8">
        <f>'Team Score Card'!F14/'Team Score Card'!F20</f>
        <v>3.625</v>
      </c>
      <c r="D18" s="8">
        <f>'Team Score Card'!F8/'Team Score Card'!F20</f>
        <v>4.875</v>
      </c>
    </row>
    <row r="19" spans="1:4" x14ac:dyDescent="0.25">
      <c r="A19" s="7" t="s">
        <v>25</v>
      </c>
      <c r="B19" s="9" t="str">
        <f>ROUND(SUBTOTAL(101,B13:B18),2) &amp;" times faster"</f>
        <v>2.41 times faster</v>
      </c>
      <c r="C19" s="9" t="str">
        <f>ROUND(SUBTOTAL(101,C13:C18),2) &amp;" times faster"</f>
        <v>4.63 times faster</v>
      </c>
      <c r="D19" s="9" t="str">
        <f>ROUND(SUBTOTAL(101,D13:D18),2) &amp;" times faster"</f>
        <v>9.34 times faster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102.42578125" customWidth="1"/>
    <col min="2" max="2" width="107" bestFit="1" customWidth="1"/>
  </cols>
  <sheetData>
    <row r="1" spans="1:2" ht="110.25" customHeight="1" x14ac:dyDescent="0.35">
      <c r="A1" s="11" t="s">
        <v>30</v>
      </c>
      <c r="B1" s="12" t="s">
        <v>31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Team Score Card</vt:lpstr>
      <vt:lpstr>Questions for discussion</vt:lpstr>
      <vt:lpstr>Information &amp; Instructions</vt:lpstr>
      <vt:lpstr>Chart2</vt:lpstr>
      <vt:lpstr>AVG_of_1st_Build_Duration</vt:lpstr>
      <vt:lpstr>AVG_of_2nd_Build_Duration</vt:lpstr>
      <vt:lpstr>AVG_of_3rd_Build_Duration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Penny Game Score Card</dc:title>
  <dc:subject>Agile Innovation Games</dc:subject>
  <dc:creator>David Sabine</dc:creator>
  <cp:keywords>queue theory</cp:keywords>
  <dc:description>I made this spreadsheet in order to measure the results of a penny game and illustrate some aspects of queue theory and team-based cooperation.</dc:description>
  <cp:lastModifiedBy>David Sabine</cp:lastModifiedBy>
  <dcterms:created xsi:type="dcterms:W3CDTF">2014-01-17T18:31:43Z</dcterms:created>
  <dcterms:modified xsi:type="dcterms:W3CDTF">2014-09-07T21:38:15Z</dcterms:modified>
  <cp:category>Agile</cp:category>
  <dc:language>en-ca</dc:language>
</cp:coreProperties>
</file>